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i\Downloads\"/>
    </mc:Choice>
  </mc:AlternateContent>
  <xr:revisionPtr revIDLastSave="0" documentId="8_{E86166F4-1C03-4891-9319-B2D8CF6224A5}" xr6:coauthVersionLast="47" xr6:coauthVersionMax="47" xr10:uidLastSave="{00000000-0000-0000-0000-000000000000}"/>
  <bookViews>
    <workbookView xWindow="-120" yWindow="-120" windowWidth="24240" windowHeight="13020" activeTab="1" xr2:uid="{ACBE8221-E0F0-4E45-B463-B63F32053483}"/>
  </bookViews>
  <sheets>
    <sheet name="ticket" sheetId="1" r:id="rId1"/>
    <sheet name="feedbackscms_id,feedback_at,fe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D3" i="2"/>
  <c r="D4" i="2"/>
  <c r="D5" i="2"/>
  <c r="D6" i="2"/>
  <c r="D7" i="2"/>
  <c r="D8" i="2"/>
  <c r="D9" i="2"/>
  <c r="D2" i="2"/>
</calcChain>
</file>

<file path=xl/sharedStrings.xml><?xml version="1.0" encoding="utf-8"?>
<sst xmlns="http://schemas.openxmlformats.org/spreadsheetml/2006/main" count="41" uniqueCount="27">
  <si>
    <t>created_at</t>
  </si>
  <si>
    <t>ticket_id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</si>
  <si>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</si>
  <si>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</si>
  <si>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</si>
  <si>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</si>
  <si>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</si>
  <si>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</si>
  <si>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</si>
  <si>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</si>
  <si>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cms-ab12-34</t>
  </si>
  <si>
    <t>mnp-xyz-001</t>
  </si>
  <si>
    <t>cms-cd56-78</t>
  </si>
  <si>
    <t>rst-uvw-002</t>
  </si>
  <si>
    <t>cms-ef90-12</t>
  </si>
  <si>
    <t>opq-lmn-003</t>
  </si>
  <si>
    <t>cms-gh34-56</t>
  </si>
  <si>
    <t>abc-def-004</t>
  </si>
  <si>
    <t>out-pqr-789</t>
  </si>
  <si>
    <t>cms-ij78-90</t>
  </si>
  <si>
    <t>ghi-jkl-005</t>
  </si>
  <si>
    <t>cms-kl12-34</t>
  </si>
  <si>
    <t>vwx-yza-006</t>
  </si>
  <si>
    <t>cms-mn56-78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</si>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</sst>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69" fontId="1" fillId="0" borderId="0" xfId="0" applyNumberFormat="1" applyFont="1" applyAlignment="1">
      <alignment horizontal="center"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1C22-9A8D-4387-98B4-0127DAF79FBF}">
  <dimension ref="A1:G9"/>
  <sheetViews>
    <sheetView workbookViewId="0">
      <selection activeCell="E14" sqref="E14"/>
    </sheetView>
  </sheetViews>
  <sheetFormatPr defaultRowHeight="15" x14ac:dyDescent="0.25"/>
  <cols>
    <col min="1" max="1" width="24.85546875" customWidth="1"/>
    <col min="2" max="2" width="27.85546875" customWidth="1"/>
    <col min="3" max="3" width="27.140625" customWidth="1"/>
    <col min="4" max="4" width="24.85546875" customWidth="1"/>
    <col min="5" max="5" width="25.85546875" customWidth="1"/>
  </cols>
  <sheetData>
    <row r="1" spans="1:7" ht="3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7" ht="30" x14ac:dyDescent="0.25">
      <c r="A2" s="2" t="s">
        <v>5</v>
      </c>
      <c r="B2" s="3">
        <v>44427.698414351849</v>
      </c>
      <c r="C2" s="3">
        <v>44430.523287037038</v>
      </c>
      <c r="D2" s="2" t="s">
        <v>6</v>
      </c>
      <c r="E2" s="2" t="s">
        <v>7</v>
      </c>
      <c r="F2" t="str">
        <f>IF(INT(B2)=INT(C2),"Yes","No")</f>
        <v>No</v>
      </c>
      <c r="G2" t="str">
        <f>IF(AND(INT(B2)=INT(C2),HOUR(B2)=HOUR(C2)),"Yes","No")</f>
        <v>No</v>
      </c>
    </row>
    <row r="3" spans="1:7" ht="30" x14ac:dyDescent="0.25">
      <c r="A3" s="2" t="s">
        <v>8</v>
      </c>
      <c r="B3" s="3">
        <v>44429.464837962965</v>
      </c>
      <c r="C3" s="3">
        <v>44429.717881944445</v>
      </c>
      <c r="D3" s="2" t="s">
        <v>9</v>
      </c>
      <c r="E3" s="2" t="s">
        <v>10</v>
      </c>
      <c r="F3" t="str">
        <f t="shared" ref="F3:F9" si="0">IF(INT(B3)=INT(C3),"Yes","No")</f>
        <v>Yes</v>
      </c>
      <c r="G3" t="str">
        <f t="shared" ref="G3:G9" si="1">IF(AND(INT(B3)=INT(C3),HOUR(B3)=HOUR(C3)),"Yes","No")</f>
        <v>No</v>
      </c>
    </row>
    <row r="4" spans="1:7" ht="30" x14ac:dyDescent="0.25">
      <c r="A4" s="2" t="s">
        <v>11</v>
      </c>
      <c r="B4" s="3">
        <v>44429.375</v>
      </c>
      <c r="C4" s="3">
        <v>44429.40625</v>
      </c>
      <c r="D4" s="2" t="s">
        <v>6</v>
      </c>
      <c r="E4" s="2" t="s">
        <v>12</v>
      </c>
      <c r="F4" t="str">
        <f t="shared" si="0"/>
        <v>Yes</v>
      </c>
      <c r="G4" t="str">
        <f t="shared" si="1"/>
        <v>Yes</v>
      </c>
    </row>
    <row r="5" spans="1:7" ht="30" x14ac:dyDescent="0.25">
      <c r="A5" s="2" t="s">
        <v>13</v>
      </c>
      <c r="B5" s="3">
        <v>44430.604166666664</v>
      </c>
      <c r="C5" s="3">
        <v>44431.416666666664</v>
      </c>
      <c r="D5" s="2" t="s">
        <v>9</v>
      </c>
      <c r="E5" s="2" t="s">
        <v>14</v>
      </c>
      <c r="F5" t="str">
        <f t="shared" si="0"/>
        <v>No</v>
      </c>
      <c r="G5" t="str">
        <f t="shared" si="1"/>
        <v>No</v>
      </c>
    </row>
    <row r="6" spans="1:7" ht="30" x14ac:dyDescent="0.25">
      <c r="A6" s="2" t="s">
        <v>15</v>
      </c>
      <c r="B6" s="3">
        <v>44431.333333333336</v>
      </c>
      <c r="C6" s="3">
        <v>44431.371527777781</v>
      </c>
      <c r="D6" s="2" t="s">
        <v>6</v>
      </c>
      <c r="E6" s="2" t="s">
        <v>16</v>
      </c>
      <c r="F6" t="str">
        <f t="shared" si="0"/>
        <v>Yes</v>
      </c>
      <c r="G6" t="str">
        <f t="shared" si="1"/>
        <v>Yes</v>
      </c>
    </row>
    <row r="7" spans="1:7" ht="30" x14ac:dyDescent="0.25">
      <c r="A7" s="2" t="s">
        <v>17</v>
      </c>
      <c r="B7" s="3">
        <v>44432.458333333336</v>
      </c>
      <c r="C7" s="3">
        <v>44432.479166666664</v>
      </c>
      <c r="D7" s="2" t="s">
        <v>18</v>
      </c>
      <c r="E7" s="2" t="s">
        <v>19</v>
      </c>
      <c r="F7" t="str">
        <f t="shared" si="0"/>
        <v>Yes</v>
      </c>
      <c r="G7" t="str">
        <f t="shared" si="1"/>
        <v>Yes</v>
      </c>
    </row>
    <row r="8" spans="1:7" ht="30" x14ac:dyDescent="0.25">
      <c r="A8" s="2" t="s">
        <v>20</v>
      </c>
      <c r="B8" s="3">
        <v>44432.625</v>
      </c>
      <c r="C8" s="3">
        <v>44433.375</v>
      </c>
      <c r="D8" s="2" t="s">
        <v>18</v>
      </c>
      <c r="E8" s="2" t="s">
        <v>21</v>
      </c>
      <c r="F8" t="str">
        <f t="shared" si="0"/>
        <v>No</v>
      </c>
      <c r="G8" t="str">
        <f t="shared" si="1"/>
        <v>No</v>
      </c>
    </row>
    <row r="9" spans="1:7" ht="30" x14ac:dyDescent="0.25">
      <c r="A9" s="2" t="s">
        <v>22</v>
      </c>
      <c r="B9" s="3">
        <v>44433.416666666664</v>
      </c>
      <c r="C9" s="3">
        <v>44433.451388888891</v>
      </c>
      <c r="D9" s="2" t="s">
        <v>6</v>
      </c>
      <c r="E9" s="2" t="s">
        <v>23</v>
      </c>
      <c r="F9" t="str">
        <f t="shared" si="0"/>
        <v>Yes</v>
      </c>
      <c r="G9" t="str">
        <f t="shared" si="1"/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51F2-6611-4CB4-AE60-B949BD782168}">
  <dimension ref="A1:D9"/>
  <sheetViews>
    <sheetView tabSelected="1" workbookViewId="0">
      <selection activeCell="G9" sqref="G9"/>
    </sheetView>
  </sheetViews>
  <sheetFormatPr defaultRowHeight="15" x14ac:dyDescent="0.25"/>
  <cols>
    <col min="1" max="1" width="27.5703125" customWidth="1"/>
    <col min="2" max="2" width="27.28515625" customWidth="1"/>
    <col min="3" max="3" width="32.85546875" customWidth="1"/>
    <col min="4" max="4" width="38.5703125" style="6" customWidth="1"/>
    <col min="6" max="6" width="29.42578125" customWidth="1"/>
    <col min="7" max="7" width="47.28515625" customWidth="1"/>
  </cols>
  <sheetData>
    <row r="1" spans="1:4" x14ac:dyDescent="0.25">
      <c r="A1" s="1" t="s">
        <v>4</v>
      </c>
      <c r="B1" s="1" t="s">
        <v>24</v>
      </c>
      <c r="C1" s="1" t="s">
        <v>25</v>
      </c>
      <c r="D1" s="4" t="s">
        <v>26</v>
      </c>
    </row>
    <row r="2" spans="1:4" x14ac:dyDescent="0.25">
      <c r="A2" s="2" t="s">
        <v>7</v>
      </c>
      <c r="B2" s="3">
        <v>44429.560277777775</v>
      </c>
      <c r="C2" s="2">
        <v>3</v>
      </c>
      <c r="D2" s="5">
        <f>_xlfn.XLOOKUP(A2, ticket!E:E, ticket!B:B)</f>
        <v>44427.698414351849</v>
      </c>
    </row>
    <row r="3" spans="1:4" x14ac:dyDescent="0.25">
      <c r="A3" s="2" t="s">
        <v>10</v>
      </c>
      <c r="B3" s="3">
        <v>44430.375</v>
      </c>
      <c r="C3" s="2">
        <v>5</v>
      </c>
      <c r="D3" s="5">
        <f>_xlfn.XLOOKUP(A3, ticket!E:E, ticket!B:B)</f>
        <v>44429.464837962965</v>
      </c>
    </row>
    <row r="4" spans="1:4" x14ac:dyDescent="0.25">
      <c r="A4" s="2" t="s">
        <v>12</v>
      </c>
      <c r="B4" s="3">
        <v>44430.416666666664</v>
      </c>
      <c r="C4" s="2">
        <v>4</v>
      </c>
      <c r="D4" s="5">
        <f>_xlfn.XLOOKUP(A4, ticket!E:E, ticket!B:B)</f>
        <v>44429.375</v>
      </c>
    </row>
    <row r="5" spans="1:4" x14ac:dyDescent="0.25">
      <c r="A5" s="2" t="s">
        <v>14</v>
      </c>
      <c r="B5" s="3">
        <v>44431.5</v>
      </c>
      <c r="C5" s="2">
        <v>2</v>
      </c>
      <c r="D5" s="5">
        <f>_xlfn.XLOOKUP(A5, ticket!E:E, ticket!B:B)</f>
        <v>44430.604166666664</v>
      </c>
    </row>
    <row r="6" spans="1:4" x14ac:dyDescent="0.25">
      <c r="A6" s="2" t="s">
        <v>16</v>
      </c>
      <c r="B6" s="3">
        <v>44432.354166666664</v>
      </c>
      <c r="C6" s="2">
        <v>5</v>
      </c>
      <c r="D6" s="5">
        <f>_xlfn.XLOOKUP(A6, ticket!E:E, ticket!B:B)</f>
        <v>44431.333333333336</v>
      </c>
    </row>
    <row r="7" spans="1:4" x14ac:dyDescent="0.25">
      <c r="A7" s="2" t="s">
        <v>19</v>
      </c>
      <c r="B7" s="3">
        <v>44433.583333333336</v>
      </c>
      <c r="C7" s="2">
        <v>3</v>
      </c>
      <c r="D7" s="5">
        <f>_xlfn.XLOOKUP(A7, ticket!E:E, ticket!B:B)</f>
        <v>44432.458333333336</v>
      </c>
    </row>
    <row r="8" spans="1:4" x14ac:dyDescent="0.25">
      <c r="A8" s="2" t="s">
        <v>21</v>
      </c>
      <c r="B8" s="3">
        <v>44434.375</v>
      </c>
      <c r="C8" s="2">
        <v>4</v>
      </c>
      <c r="D8" s="5">
        <f>_xlfn.XLOOKUP(A8, ticket!E:E, ticket!B:B)</f>
        <v>44432.625</v>
      </c>
    </row>
    <row r="9" spans="1:4" x14ac:dyDescent="0.25">
      <c r="A9" s="2" t="s">
        <v>23</v>
      </c>
      <c r="B9" s="3">
        <v>44434.625</v>
      </c>
      <c r="C9" s="2">
        <v>5</v>
      </c>
      <c r="D9" s="5">
        <f>_xlfn.XLOOKUP(A9, ticket!E:E, ticket!B:B)</f>
        <v>44433.416666666664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feedbackscms_id,feedback_at,fee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DORATHY V</dc:creator>
  <cp:lastModifiedBy>JASMINE DORATHY V</cp:lastModifiedBy>
  <dcterms:created xsi:type="dcterms:W3CDTF">2026-04-08T17:28:00Z</dcterms:created>
  <dcterms:modified xsi:type="dcterms:W3CDTF">2026-04-08T18:42:50Z</dcterms:modified>
</cp:coreProperties>
</file>